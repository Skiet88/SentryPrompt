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waldonhendricks/Downloads/"/>
    </mc:Choice>
  </mc:AlternateContent>
  <xr:revisionPtr revIDLastSave="0" documentId="8_{A477D973-3CE3-9C40-96B8-F44808051FF2}" xr6:coauthVersionLast="47" xr6:coauthVersionMax="47" xr10:uidLastSave="{00000000-0000-0000-0000-000000000000}"/>
  <bookViews>
    <workbookView xWindow="0" yWindow="660" windowWidth="30240" windowHeight="18100" tabRatio="500" xr2:uid="{00000000-000D-0000-FFFF-FFFF00000000}"/>
  </bookViews>
  <sheets>
    <sheet name="BB Rubric – Design Phase" sheetId="1" r:id="rId1"/>
    <sheet name="Mark Sheet" sheetId="2" r:id="rId2"/>
    <sheet name="Grade Band Guide" sheetId="3" r:id="rId3"/>
    <sheet name="BB Upload Guide"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7" i="2" l="1"/>
  <c r="C28" i="2" s="1"/>
  <c r="C26" i="2"/>
  <c r="C22" i="2"/>
  <c r="C17" i="2"/>
  <c r="C12" i="2"/>
  <c r="G26" i="1"/>
  <c r="G27" i="1" s="1"/>
</calcChain>
</file>

<file path=xl/sharedStrings.xml><?xml version="1.0" encoding="utf-8"?>
<sst xmlns="http://schemas.openxmlformats.org/spreadsheetml/2006/main" count="195" uniqueCount="185">
  <si>
    <t>POSTGRADUATE DIPLOMA IN ICT — CAPSTONE PROJECT: DESIGN PHASE RUBRIC</t>
  </si>
  <si>
    <t>Due Date:</t>
  </si>
  <si>
    <t>Stream:</t>
  </si>
  <si>
    <t>[ Select Stream ]</t>
  </si>
  <si>
    <t>Academic Year:</t>
  </si>
  <si>
    <t>Student Name:</t>
  </si>
  <si>
    <t>[ Student Name ]</t>
  </si>
  <si>
    <t>Student No.:</t>
  </si>
  <si>
    <t>[ Student No. ]</t>
  </si>
  <si>
    <t>Supervisor:</t>
  </si>
  <si>
    <t>[ Supervisor Name ]</t>
  </si>
  <si>
    <t>Project Title:</t>
  </si>
  <si>
    <t>[ Project Title ]</t>
  </si>
  <si>
    <t>Criterion / Sub-criterion</t>
  </si>
  <si>
    <t>Excellent
(90–100%)</t>
  </si>
  <si>
    <t>Proficient
(75–89%)</t>
  </si>
  <si>
    <t>Developing
(50–74%)</t>
  </si>
  <si>
    <t>Not Yet Competent
(0–49%)</t>
  </si>
  <si>
    <t>Max
Marks</t>
  </si>
  <si>
    <t>Marks
Awarded</t>
  </si>
  <si>
    <t>Assessor Comments</t>
  </si>
  <si>
    <t>Excellent (90–100%)</t>
  </si>
  <si>
    <t>Proficient (75–89%)</t>
  </si>
  <si>
    <t>Developing (50–74%)</t>
  </si>
  <si>
    <t>Not Yet Competent (0–49%)</t>
  </si>
  <si>
    <t>Max</t>
  </si>
  <si>
    <t>Awarded</t>
  </si>
  <si>
    <t>Comments</t>
  </si>
  <si>
    <t xml:space="preserve">  SECTION A: DESIGN DOCUMENTS</t>
  </si>
  <si>
    <t>A1. High-Level Design Document
(Architecture &amp; Components)</t>
  </si>
  <si>
    <t>Presents a comprehensive, clearly structured HLD. Architecture is logically sound, all major components identified, interactions fully described. Appropriate to project complexity.</t>
  </si>
  <si>
    <t>HLD is well-structured and covers most components. Some minor gaps in interaction descriptions or justification, but design intent is clear.</t>
  </si>
  <si>
    <t>HLD is present but lacks depth. Architecture is partially described; components or interactions are unclear or missing. Limited justification.</t>
  </si>
  <si>
    <t>HLD is absent, incomplete, or does not reflect the project. No coherent architecture is presented.</t>
  </si>
  <si>
    <t>A2. Detailed Design Document
(Modules, Algorithms &amp; Interfaces)</t>
  </si>
  <si>
    <t>DDD provides thorough technical detail for all modules, algorithms, and interfaces. Pseudocode or structured notation used where appropriate. Fully aligned with the HLD.</t>
  </si>
  <si>
    <t>DDD addresses most modules and interfaces with adequate technical depth. Minor gaps present but do not undermine overall design quality.</t>
  </si>
  <si>
    <t>DDD is present but technically shallow. Modules partially described; algorithms or interface specifications vague or missing.</t>
  </si>
  <si>
    <t>DDD is absent or insufficient. Technical detail is negligible and does not support implementation.</t>
  </si>
  <si>
    <t xml:space="preserve">  SECTION B: DIAGRAMS AND VISUAL AIDS</t>
  </si>
  <si>
    <t>B1. Architecture / Topology / System Diagram</t>
  </si>
  <si>
    <t>Diagram is accurate, clearly labelled, professionally presented, and captioned. Fully represents the system/network/model structure. Referenced in body text.</t>
  </si>
  <si>
    <t>Diagram is present and adequately labelled. Minor labelling or referencing issues. Captures the main structure with minor omissions.</t>
  </si>
  <si>
    <t>Diagram is included but lacks labels, caption, or referencing. Partially represents the system. Clarity is insufficient for unambiguous interpretation.</t>
  </si>
  <si>
    <t>Diagram is absent or does not meaningfully represent the system.</t>
  </si>
  <si>
    <t>B2. Sequence / Interaction / Flow Diagram</t>
  </si>
  <si>
    <t>Diagram uses correct notation, covers at least one primary use case or process in full. All actors, messages, and flows are labelled. Explanation provided.</t>
  </si>
  <si>
    <t>Diagram is correct and covers the main flow. Minor notation errors or missing actor labels. Explanation is adequate.</t>
  </si>
  <si>
    <t>Diagram is present but has notation errors, missing actors, or incomplete flows. Explanation is limited.</t>
  </si>
  <si>
    <t>Diagram is absent or fundamentally incorrect.</t>
  </si>
  <si>
    <t>B3. Data / ERD / DFD / Wireframe</t>
  </si>
  <si>
    <t>Diagram is normalised (ERD min 3NF), fully labelled with entities, attributes, keys, and relationships or data flows. Directly supports the design.</t>
  </si>
  <si>
    <t>Diagram is adequate. Most entities/flows labelled. Minor normalisation or labelling issues.</t>
  </si>
  <si>
    <t>Diagram is partially complete. Key entities, relationships, or flows are missing or unlabelled.</t>
  </si>
  <si>
    <t>Diagram is absent or does not reflect the project data model or flows.</t>
  </si>
  <si>
    <t xml:space="preserve">  SECTION C: PROTOTYPES AND MOCKUPS</t>
  </si>
  <si>
    <t>C1. Prototype / Simulation Description &amp; Scope</t>
  </si>
  <si>
    <t>Prototype/simulation is clearly described, scope is defined, and tools are identified. Directly linked to project objectives and design decisions.</t>
  </si>
  <si>
    <t>Description is adequate. Scope mostly defined. Tools identified. Minor gaps in linking to design decisions.</t>
  </si>
  <si>
    <t>Description is vague. Scope unclear. Tool use partially described. Weak connection to design.</t>
  </si>
  <si>
    <t>No meaningful prototype/simulation description. No tool use evidenced.</t>
  </si>
  <si>
    <t>C2. Screenshots / Simulation Outputs</t>
  </si>
  <si>
    <t>Three or more annotated screenshots/outputs. Each captioned and referenced. Annotations highlight specific design elements. High visual quality.</t>
  </si>
  <si>
    <t>Two or more screenshots/outputs. Most are captioned. Annotation is partially complete.</t>
  </si>
  <si>
    <t>One or two screenshots provided. Limited captioning or annotation. Quality is insufficient for assessment.</t>
  </si>
  <si>
    <t>No screenshots or outputs provided, or images are unrelated to the project.</t>
  </si>
  <si>
    <t>C3. Functionality Explanation &amp; Design Validation</t>
  </si>
  <si>
    <t>Explanation clearly links prototype behaviour to design requirements. Demonstrates how the prototype validates specific design decisions.</t>
  </si>
  <si>
    <t>Explanation is adequate. Most prototype features linked to requirements. Minor gaps in validation discussion.</t>
  </si>
  <si>
    <t>Explanation is present but superficial. Limited linkage to requirements or design decisions.</t>
  </si>
  <si>
    <t>No meaningful explanation. Prototype is not linked to design or requirements.</t>
  </si>
  <si>
    <t xml:space="preserve">  SECTION D: REQUIREMENTS TRACEABILITY</t>
  </si>
  <si>
    <t>D1. Completeness of Traceability Matrix</t>
  </si>
  <si>
    <t>All requirements from Analysis Phase are represented. Each row contains a requirement ID, design element, and justification. No gaps.</t>
  </si>
  <si>
    <t>Most requirements are traced. One or two rows are incomplete or missing justification.</t>
  </si>
  <si>
    <t>Traceability matrix is partially complete. Multiple requirements untraced or justifications absent.</t>
  </si>
  <si>
    <t>Matrix is absent, or fewer than half of requirements are traced with justification.</t>
  </si>
  <si>
    <t>D2. Quality and Specificity of Justification</t>
  </si>
  <si>
    <t>Justifications are specific, technical, and clearly explain how each design element addresses its requirement. Design elements referenced by section or figure number.</t>
  </si>
  <si>
    <t>Justifications are adequate and mostly specific. Some are generic or lack design cross-references.</t>
  </si>
  <si>
    <t>Justifications are vague or repetitive. Limited specificity. Design elements not clearly identified.</t>
  </si>
  <si>
    <t>Justifications are absent or do not meaningfully link requirements to design.</t>
  </si>
  <si>
    <t xml:space="preserve">  SECTION E: DESIGN EVALUATION &amp; ACADEMIC QUALITY</t>
  </si>
  <si>
    <t>—</t>
  </si>
  <si>
    <t>E1. Feasibility, Scalability &amp; Security Discussion
(Informing mark adjustment)</t>
  </si>
  <si>
    <t>All three dimensions (feasibility, scalability, security) addressed with technical depth and specificity. Risk matrix is complete and mitigations are realistic.</t>
  </si>
  <si>
    <t>At least two dimensions addressed adequately. Risk matrix partially complete.</t>
  </si>
  <si>
    <t>Discussion is present but lacks depth. One or two dimensions superficially addressed.</t>
  </si>
  <si>
    <t>Discussion is absent or does not address the project context.</t>
  </si>
  <si>
    <t>Assessed holistically — informs overall mark quality</t>
  </si>
  <si>
    <t>E2. Academic Writing, Referencing &amp; Presentation</t>
  </si>
  <si>
    <t>Formal academic tone throughout. Minimum 5 correctly formatted references. No spelling/grammar errors. Document is professionally structured.</t>
  </si>
  <si>
    <t>Generally formal tone. 3–4 references correctly formatted. Minor language or formatting issues.</t>
  </si>
  <si>
    <t>Informal language present. Fewer than 3 references or inconsistent formatting. Noticeable errors.</t>
  </si>
  <si>
    <t>Poor academic writing. Minimal or no referencing. Significant presentation deficiencies.</t>
  </si>
  <si>
    <t>TOTAL MARKS</t>
  </si>
  <si>
    <t>Grade Band:</t>
  </si>
  <si>
    <t>Note: Sections E1 and E2 are holistic quality indicators and inform mark adjustments at the assessor's discretion. They do not carry independent marks.</t>
  </si>
  <si>
    <t>PGDip ICT — Capstone Project: Design Phase Mark Sheet</t>
  </si>
  <si>
    <t>Student Name</t>
  </si>
  <si>
    <t>Student Number</t>
  </si>
  <si>
    <t>Stream</t>
  </si>
  <si>
    <t>Supervisor</t>
  </si>
  <si>
    <t>Due Date</t>
  </si>
  <si>
    <t>Date Marked</t>
  </si>
  <si>
    <t>Section A: Design Documents</t>
  </si>
  <si>
    <t>Max Marks</t>
  </si>
  <si>
    <t xml:space="preserve">  A1. High-Level Design Document</t>
  </si>
  <si>
    <t xml:space="preserve">  A2. Detailed Design Document</t>
  </si>
  <si>
    <t>Section A Sub-total</t>
  </si>
  <si>
    <t>/ 30</t>
  </si>
  <si>
    <t>Section B: Diagrams and Visual Aids</t>
  </si>
  <si>
    <t xml:space="preserve">  B1. Architecture / Topology / System Diagram</t>
  </si>
  <si>
    <t xml:space="preserve">  B2. Sequence / Interaction / Flow Diagram</t>
  </si>
  <si>
    <t xml:space="preserve">  B3. Data / ERD / DFD / Wireframe</t>
  </si>
  <si>
    <t>Section B Sub-total</t>
  </si>
  <si>
    <t>/ 25</t>
  </si>
  <si>
    <t>Section C: Prototypes and Mockups</t>
  </si>
  <si>
    <t xml:space="preserve">  C1. Prototype / Simulation Description &amp; Scope</t>
  </si>
  <si>
    <t xml:space="preserve">  C2. Screenshots / Simulation Outputs</t>
  </si>
  <si>
    <t xml:space="preserve">  C3. Functionality Explanation &amp; Design Validation</t>
  </si>
  <si>
    <t>Section C Sub-total</t>
  </si>
  <si>
    <t>Section D: Requirements Traceability</t>
  </si>
  <si>
    <t xml:space="preserve">  D1. Completeness of Traceability Matrix</t>
  </si>
  <si>
    <t xml:space="preserve">  D2. Quality and Specificity of Justification</t>
  </si>
  <si>
    <t>Section D Sub-total</t>
  </si>
  <si>
    <t>/ 20</t>
  </si>
  <si>
    <t>TOTAL</t>
  </si>
  <si>
    <t>/ 100</t>
  </si>
  <si>
    <t>Grade</t>
  </si>
  <si>
    <t>Assessor Signature:</t>
  </si>
  <si>
    <t>Date:</t>
  </si>
  <si>
    <t>Moderation Comments:</t>
  </si>
  <si>
    <t>PGDip ICT — Design Phase: Grade Band Descriptors</t>
  </si>
  <si>
    <t>Distinction</t>
  </si>
  <si>
    <t>90 – 100</t>
  </si>
  <si>
    <t>All criteria met at an exemplary level. Diagrams, documents, and prototypes are professionally executed, fully labelled, and demonstrate sophisticated design thinking. Traceability is complete and justifications are specific and technical. Academic writing is fluent and referencing is impeccable.</t>
  </si>
  <si>
    <t>Merit</t>
  </si>
  <si>
    <t>75 – 89</t>
  </si>
  <si>
    <t>Most criteria met to a high standard. Minor gaps in one or two areas that do not undermine the overall quality of the submission. Design demonstrates clear technical competence. Traceability is mostly complete. Academic writing is clear and referencing is adequate.</t>
  </si>
  <si>
    <t>Pass</t>
  </si>
  <si>
    <t>50 – 74</t>
  </si>
  <si>
    <t>Core criteria met at a satisfactory level. Some gaps in technical depth, diagram quality, or traceability. The design is functional and demonstrates adequate understanding of the project domain. Improvements are needed before implementation readiness.</t>
  </si>
  <si>
    <t>Not Yet Competent</t>
  </si>
  <si>
    <t>0 – 49</t>
  </si>
  <si>
    <t>Significant criteria not met. Major deficiencies in design documents, diagrams, or traceability. The submission does not demonstrate sufficient design readiness for the implementation phase. Resubmission required.</t>
  </si>
  <si>
    <t>Blackboard Rubric — Setup &amp; Upload Instructions</t>
  </si>
  <si>
    <t>Step</t>
  </si>
  <si>
    <t>Action</t>
  </si>
  <si>
    <t>Detail</t>
  </si>
  <si>
    <t>Step 1</t>
  </si>
  <si>
    <t>Access the Assignment</t>
  </si>
  <si>
    <t>In Blackboard, navigate to the assignment → Grade Centre → Full Grade Centre → locate the Design Phase assignment.</t>
  </si>
  <si>
    <t>Step 2</t>
  </si>
  <si>
    <t>Open Assignment Settings</t>
  </si>
  <si>
    <t>Click the chevron (v) next to the column header → 'Edit Column Information'.</t>
  </si>
  <si>
    <t>Step 3</t>
  </si>
  <si>
    <t>Attach Rubric</t>
  </si>
  <si>
    <t>Scroll to 'Grading' → click 'Add Rubric' → 'Create New Rubric' OR 'Select Rubric' if already uploaded.</t>
  </si>
  <si>
    <t>Step 4</t>
  </si>
  <si>
    <t>Rubric Title</t>
  </si>
  <si>
    <t>Step 5</t>
  </si>
  <si>
    <t>Rubric Type</t>
  </si>
  <si>
    <t>Set Type to 'Percentage' or 'Points'. Total points: 100.</t>
  </si>
  <si>
    <t>Step 6</t>
  </si>
  <si>
    <t>Enter Criteria</t>
  </si>
  <si>
    <t>Enter each criterion from the 'BB Rubric – Design Phase' sheet. Use the four performance levels: Excellent / Proficient / Developing / Not Yet Competent.</t>
  </si>
  <si>
    <t>Step 7</t>
  </si>
  <si>
    <t>Set Point Values</t>
  </si>
  <si>
    <t>Assign points per criterion as per column F ('Max Marks') in the BB Rubric sheet. Total must equal 100.</t>
  </si>
  <si>
    <t>Step 8</t>
  </si>
  <si>
    <t>Performance Descriptions</t>
  </si>
  <si>
    <t>Copy the descriptor text from columns B–E of the rubric sheet into each cell of the Blackboard rubric builder.</t>
  </si>
  <si>
    <t>Step 9</t>
  </si>
  <si>
    <t>Step 10</t>
  </si>
  <si>
    <t>Save &amp; Associate</t>
  </si>
  <si>
    <t>Click 'Submit' to save the rubric. Ensure it is associated with the Design Phase assignment column.</t>
  </si>
  <si>
    <t>Step 11</t>
  </si>
  <si>
    <t>Test View</t>
  </si>
  <si>
    <t>Use 'Student Preview' to confirm the rubric appears correctly on the student-facing submission page.</t>
  </si>
  <si>
    <t>Step 12</t>
  </si>
  <si>
    <t>Marking</t>
  </si>
  <si>
    <t>When marking, open the rubric per student, select the appropriate performance band per criterion, and enter the numerical mark. The total auto-calculates.</t>
  </si>
  <si>
    <t>In the assignment settings, set Due Date to -02 August 2026 at 23:59 (student local time).</t>
  </si>
  <si>
    <t>Name the rubric: 'PGDip ICT — Design Phase Rubric — 02 August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</si>
</sst>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charset val="1"/>
    </font>
    <font>
      <b/>
      <sz val="14"/>
      <color rgb="FFFFFFFF"/>
      <name val="Arial"/>
      <family val="2"/>
    </font>
    <font>
      <b/>
      <sz val="10"/>
      <color rgb="FFFFFFFF"/>
      <name val="Arial"/>
      <family val="2"/>
    </font>
    <font>
      <sz val="10"/>
      <color rgb="FF000000"/>
      <name val="Arial"/>
      <family val="2"/>
    </font>
    <font>
      <b/>
      <i/>
      <sz val="9"/>
      <color rgb="FF1F3864"/>
      <name val="Arial"/>
      <family val="2"/>
    </font>
    <font>
      <b/>
      <sz val="11"/>
      <color rgb="FFFFFFFF"/>
      <name val="Arial"/>
      <family val="2"/>
    </font>
    <font>
      <b/>
      <sz val="9"/>
      <color rgb="FF000000"/>
      <name val="Arial"/>
      <family val="2"/>
    </font>
    <font>
      <i/>
      <sz val="9"/>
      <color rgb="FF1E4620"/>
      <name val="Arial"/>
      <family val="2"/>
    </font>
    <font>
      <i/>
      <sz val="9"/>
      <color rgb="FF7D6608"/>
      <name val="Arial"/>
      <family val="2"/>
    </font>
    <font>
      <i/>
      <sz val="9"/>
      <color rgb="FF7D3C07"/>
      <name val="Arial"/>
      <family val="2"/>
    </font>
    <font>
      <i/>
      <sz val="9"/>
      <color rgb="FF900000"/>
      <name val="Arial"/>
      <family val="2"/>
    </font>
    <font>
      <b/>
      <sz val="10"/>
      <color rgb="FF1F3864"/>
      <name val="Arial"/>
      <family val="2"/>
    </font>
    <font>
      <b/>
      <sz val="10"/>
      <color rgb="FF000000"/>
      <name val="Arial"/>
      <family val="2"/>
    </font>
    <font>
      <i/>
      <sz val="9"/>
      <color rgb="FF444444"/>
      <name val="Arial"/>
      <family val="2"/>
    </font>
    <font>
      <b/>
      <sz val="12"/>
      <color rgb="FFFFFFFF"/>
      <name val="Arial"/>
      <family val="2"/>
    </font>
    <font>
      <i/>
      <sz val="9"/>
      <color rgb="FF555555"/>
      <name val="Arial"/>
      <family val="2"/>
    </font>
    <font>
      <b/>
      <sz val="13"/>
      <color rgb="FFFFFFFF"/>
      <name val="Arial"/>
      <family val="2"/>
    </font>
    <font>
      <b/>
      <sz val="9"/>
      <color rgb="FF1F3864"/>
      <name val="Arial"/>
      <family val="2"/>
    </font>
    <font>
      <sz val="10"/>
      <color rgb="FF1F3864"/>
      <name val="Arial"/>
      <family val="2"/>
    </font>
    <font>
      <b/>
      <sz val="11"/>
      <color rgb="FF1E4620"/>
      <name val="Arial"/>
      <family val="2"/>
    </font>
    <font>
      <b/>
      <sz val="10"/>
      <color rgb="FF1E4620"/>
      <name val="Arial"/>
      <family val="2"/>
    </font>
    <font>
      <b/>
      <sz val="11"/>
      <color rgb="FF7D6608"/>
      <name val="Arial"/>
      <family val="2"/>
    </font>
    <font>
      <b/>
      <sz val="10"/>
      <color rgb="FF7D6608"/>
      <name val="Arial"/>
      <family val="2"/>
    </font>
    <font>
      <b/>
      <sz val="11"/>
      <color rgb="FF7D3C07"/>
      <name val="Arial"/>
      <family val="2"/>
    </font>
    <font>
      <b/>
      <sz val="10"/>
      <color rgb="FF7D3C07"/>
      <name val="Arial"/>
      <family val="2"/>
    </font>
    <font>
      <b/>
      <sz val="11"/>
      <color rgb="FF900000"/>
      <name val="Arial"/>
      <family val="2"/>
    </font>
    <font>
      <b/>
      <sz val="10"/>
      <color rgb="FF900000"/>
      <name val="Arial"/>
      <family val="2"/>
    </font>
    <font>
      <sz val="10"/>
      <color rgb="FF444444"/>
      <name val="Arial"/>
      <family val="2"/>
    </font>
  </fonts>
  <fills count="14">
    <fill>
      <patternFill patternType="none"/>
    </fill>
    <fill>
      <patternFill patternType="gray125"/>
    </fill>
    <fill>
      <patternFill patternType="solid">
        <fgColor rgb="FF1F3864"/>
        <bgColor rgb="FF333399"/>
      </patternFill>
    </fill>
    <fill>
      <patternFill patternType="solid">
        <fgColor rgb="FFD6E4F0"/>
        <bgColor rgb="FFD9EAD3"/>
      </patternFill>
    </fill>
    <fill>
      <patternFill patternType="solid">
        <fgColor rgb="FF2E75B6"/>
        <bgColor rgb="FF17648D"/>
      </patternFill>
    </fill>
    <fill>
      <patternFill patternType="solid">
        <fgColor rgb="FF17648D"/>
        <bgColor rgb="FF2E75B6"/>
      </patternFill>
    </fill>
    <fill>
      <patternFill patternType="solid">
        <fgColor rgb="FFFFFFFF"/>
        <bgColor rgb="FFF2F2F2"/>
      </patternFill>
    </fill>
    <fill>
      <patternFill patternType="solid">
        <fgColor rgb="FFD9EAD3"/>
        <bgColor rgb="FFD6E4F0"/>
      </patternFill>
    </fill>
    <fill>
      <patternFill patternType="solid">
        <fgColor rgb="FFFFF9C4"/>
        <bgColor rgb="FFFFF2CC"/>
      </patternFill>
    </fill>
    <fill>
      <patternFill patternType="solid">
        <fgColor rgb="FFFCE5CD"/>
        <bgColor rgb="FFFFF2CC"/>
      </patternFill>
    </fill>
    <fill>
      <patternFill patternType="solid">
        <fgColor rgb="FFF4CCCC"/>
        <bgColor rgb="FFFCE5CD"/>
      </patternFill>
    </fill>
    <fill>
      <patternFill patternType="solid">
        <fgColor rgb="FFBDD7EE"/>
        <bgColor rgb="FFD6E4F0"/>
      </patternFill>
    </fill>
    <fill>
      <patternFill patternType="solid">
        <fgColor rgb="FFFFF2CC"/>
        <bgColor rgb="FFFFF9C4"/>
      </patternFill>
    </fill>
    <fill>
      <patternFill patternType="solid">
        <fgColor rgb="FFF2F2F2"/>
        <bgColor rgb="FFFFFFFF"/>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bottom style="thin">
        <color auto="1"/>
      </bottom>
      <diagonal/>
    </border>
  </borders>
  <cellStyleXfs count="1">
    <xf numFmtId="0" fontId="0" fillId="0" borderId="0"/>
  </cellStyleXfs>
  <cellXfs count="58">
    <xf numFmtId="0" fontId="0" fillId="0" borderId="0" xfId="0"/>
    <xf numFmtId="0" fontId="14" fillId="2" borderId="0" xfId="0" applyFont="1" applyFill="1" applyAlignment="1">
      <alignment horizontal="center" vertical="center" wrapText="1"/>
    </xf>
    <xf numFmtId="0" fontId="0" fillId="0" borderId="3" xfId="0" applyBorder="1"/>
    <xf numFmtId="0" fontId="12" fillId="0" borderId="0" xfId="0" applyFont="1" applyAlignment="1">
      <alignment horizontal="left" vertical="center"/>
    </xf>
    <xf numFmtId="0" fontId="17" fillId="3" borderId="2" xfId="0" applyFont="1" applyFill="1" applyBorder="1" applyAlignment="1">
      <alignment horizontal="right" vertical="center"/>
    </xf>
    <xf numFmtId="0" fontId="2" fillId="5" borderId="2" xfId="0" applyFont="1" applyFill="1" applyBorder="1" applyAlignment="1">
      <alignment horizontal="left" vertical="center"/>
    </xf>
    <xf numFmtId="0" fontId="3" fillId="3" borderId="2" xfId="0" applyFont="1" applyFill="1" applyBorder="1" applyAlignment="1">
      <alignment horizontal="left" vertical="center" wrapText="1"/>
    </xf>
    <xf numFmtId="0" fontId="3" fillId="12" borderId="2" xfId="0" applyFont="1" applyFill="1" applyBorder="1" applyAlignment="1">
      <alignment horizontal="left" vertical="center" wrapText="1"/>
    </xf>
    <xf numFmtId="0" fontId="16" fillId="2" borderId="0" xfId="0" applyFont="1" applyFill="1" applyAlignment="1">
      <alignment horizontal="center" vertical="center" wrapText="1"/>
    </xf>
    <xf numFmtId="0" fontId="15" fillId="0" borderId="0" xfId="0" applyFont="1" applyAlignment="1">
      <alignment horizontal="left" vertical="center" wrapText="1"/>
    </xf>
    <xf numFmtId="0" fontId="11" fillId="3" borderId="2" xfId="0" applyFont="1" applyFill="1" applyBorder="1" applyAlignment="1">
      <alignment horizontal="right" vertical="center" wrapText="1"/>
    </xf>
    <xf numFmtId="0" fontId="14" fillId="2" borderId="2" xfId="0" applyFont="1" applyFill="1" applyBorder="1" applyAlignment="1">
      <alignment horizontal="right" vertical="center" wrapText="1"/>
    </xf>
    <xf numFmtId="0" fontId="5" fillId="5" borderId="2" xfId="0" applyFont="1" applyFill="1" applyBorder="1" applyAlignment="1">
      <alignment horizontal="left" vertical="center"/>
    </xf>
    <xf numFmtId="0" fontId="2" fillId="2" borderId="1" xfId="0" applyFont="1" applyFill="1" applyBorder="1" applyAlignment="1">
      <alignment horizontal="left" vertical="center"/>
    </xf>
    <xf numFmtId="0" fontId="1" fillId="2" borderId="0" xfId="0" applyFont="1" applyFill="1" applyAlignment="1">
      <alignment horizontal="center" vertical="center" wrapText="1"/>
    </xf>
    <xf numFmtId="0" fontId="2" fillId="2" borderId="1" xfId="0" applyFont="1" applyFill="1" applyBorder="1" applyAlignment="1">
      <alignment horizontal="left" vertical="center"/>
    </xf>
    <xf numFmtId="0" fontId="3" fillId="3" borderId="1" xfId="0" applyFont="1" applyFill="1" applyBorder="1" applyAlignment="1">
      <alignment horizontal="left" vertical="center"/>
    </xf>
    <xf numFmtId="0" fontId="2"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5" borderId="1" xfId="0" applyFill="1" applyBorder="1"/>
    <xf numFmtId="0" fontId="6" fillId="6" borderId="1" xfId="0" applyFont="1" applyFill="1" applyBorder="1" applyAlignment="1">
      <alignment horizontal="left" vertical="top" wrapText="1"/>
    </xf>
    <xf numFmtId="0" fontId="7" fillId="7" borderId="1" xfId="0" applyFont="1" applyFill="1" applyBorder="1" applyAlignment="1">
      <alignment horizontal="center" vertical="top" wrapText="1"/>
    </xf>
    <xf numFmtId="0" fontId="8" fillId="8" borderId="1" xfId="0" applyFont="1" applyFill="1" applyBorder="1" applyAlignment="1">
      <alignment horizontal="center" vertical="top" wrapText="1"/>
    </xf>
    <xf numFmtId="0" fontId="9" fillId="9" borderId="1" xfId="0" applyFont="1" applyFill="1" applyBorder="1" applyAlignment="1">
      <alignment horizontal="center" vertical="top" wrapText="1"/>
    </xf>
    <xf numFmtId="0" fontId="10" fillId="10" borderId="1" xfId="0" applyFont="1" applyFill="1" applyBorder="1" applyAlignment="1">
      <alignment horizontal="center" vertical="top" wrapText="1"/>
    </xf>
    <xf numFmtId="0" fontId="11" fillId="11" borderId="1" xfId="0" applyFont="1" applyFill="1" applyBorder="1" applyAlignment="1">
      <alignment horizontal="center" vertical="center" wrapText="1"/>
    </xf>
    <xf numFmtId="0" fontId="12" fillId="12" borderId="1" xfId="0" applyFont="1" applyFill="1" applyBorder="1" applyAlignment="1">
      <alignment horizontal="center" vertical="center" wrapText="1"/>
    </xf>
    <xf numFmtId="0" fontId="13" fillId="6" borderId="1" xfId="0" applyFont="1" applyFill="1" applyBorder="1" applyAlignment="1">
      <alignment horizontal="left" vertical="top" wrapText="1"/>
    </xf>
    <xf numFmtId="0" fontId="14" fillId="2" borderId="1" xfId="0" applyFont="1" applyFill="1" applyBorder="1" applyAlignment="1">
      <alignment horizontal="center" vertical="center" wrapText="1"/>
    </xf>
    <xf numFmtId="0" fontId="0" fillId="2" borderId="1" xfId="0" applyFill="1" applyBorder="1"/>
    <xf numFmtId="0" fontId="0" fillId="3" borderId="1" xfId="0" applyFill="1" applyBorder="1"/>
    <xf numFmtId="0" fontId="11" fillId="3"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1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18" fillId="3"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3" fillId="6" borderId="1" xfId="0" applyFont="1" applyFill="1" applyBorder="1" applyAlignment="1">
      <alignment horizontal="left" vertical="top" wrapText="1"/>
    </xf>
    <xf numFmtId="0" fontId="21" fillId="8" borderId="1" xfId="0" applyFont="1" applyFill="1" applyBorder="1" applyAlignment="1">
      <alignment horizontal="center" vertical="center" wrapText="1"/>
    </xf>
    <xf numFmtId="0" fontId="22" fillId="8"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4" fillId="9" borderId="1" xfId="0" applyFont="1" applyFill="1" applyBorder="1" applyAlignment="1">
      <alignment horizontal="center" vertical="center" wrapText="1"/>
    </xf>
    <xf numFmtId="0" fontId="25" fillId="10" borderId="1" xfId="0" applyFont="1" applyFill="1" applyBorder="1" applyAlignment="1">
      <alignment horizontal="center" vertical="center" wrapText="1"/>
    </xf>
    <xf numFmtId="0" fontId="26" fillId="10"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27" fillId="6" borderId="1" xfId="0" applyFont="1" applyFill="1" applyBorder="1" applyAlignment="1">
      <alignment horizontal="left" vertical="top" wrapText="1"/>
    </xf>
    <xf numFmtId="0" fontId="17" fillId="13" borderId="1" xfId="0" applyFont="1" applyFill="1" applyBorder="1" applyAlignment="1">
      <alignment horizontal="center" vertical="center" wrapText="1"/>
    </xf>
    <xf numFmtId="0" fontId="12" fillId="13" borderId="1" xfId="0" applyFont="1" applyFill="1" applyBorder="1" applyAlignment="1">
      <alignment horizontal="left" vertical="center" wrapText="1"/>
    </xf>
    <xf numFmtId="0" fontId="27" fillId="13" borderId="1" xfId="0" applyFont="1" applyFill="1" applyBorder="1" applyAlignment="1">
      <alignment horizontal="left" vertical="top" wrapText="1"/>
    </xf>
    <xf numFmtId="15" fontId="3" fillId="3" borderId="2" xfId="0" applyNumberFormat="1" applyFont="1" applyFill="1" applyBorder="1" applyAlignment="1">
      <alignment horizontal="left" vertical="center" wrapText="1"/>
    </xf>
    <xf numFmtId="15" fontId="3" fillId="3" borderId="1"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00000"/>
      <rgbColor rgb="FF008000"/>
      <rgbColor rgb="FF000080"/>
      <rgbColor rgb="FF7D6608"/>
      <rgbColor rgb="FF800080"/>
      <rgbColor rgb="FF008080"/>
      <rgbColor rgb="FFFCE5CD"/>
      <rgbColor rgb="FF808080"/>
      <rgbColor rgb="FF9999FF"/>
      <rgbColor rgb="FF993366"/>
      <rgbColor rgb="FFFFF9C4"/>
      <rgbColor rgb="FFD6E4F0"/>
      <rgbColor rgb="FF660066"/>
      <rgbColor rgb="FFFF8080"/>
      <rgbColor rgb="FF17648D"/>
      <rgbColor rgb="FFBDD7EE"/>
      <rgbColor rgb="FF000080"/>
      <rgbColor rgb="FFFF00FF"/>
      <rgbColor rgb="FFFFFF00"/>
      <rgbColor rgb="FF00FFFF"/>
      <rgbColor rgb="FF800080"/>
      <rgbColor rgb="FF800000"/>
      <rgbColor rgb="FF008080"/>
      <rgbColor rgb="FF0000FF"/>
      <rgbColor rgb="FF00CCFF"/>
      <rgbColor rgb="FFF2F2F2"/>
      <rgbColor rgb="FFD9EAD3"/>
      <rgbColor rgb="FFFFF2CC"/>
      <rgbColor rgb="FF99CCFF"/>
      <rgbColor rgb="FFFF99CC"/>
      <rgbColor rgb="FFCC99FF"/>
      <rgbColor rgb="FFF4CCCC"/>
      <rgbColor rgb="FF2E75B6"/>
      <rgbColor rgb="FF33CCCC"/>
      <rgbColor rgb="FF99CC00"/>
      <rgbColor rgb="FFFFCC00"/>
      <rgbColor rgb="FFFF9900"/>
      <rgbColor rgb="FFFF6600"/>
      <rgbColor rgb="FF555555"/>
      <rgbColor rgb="FFAAAAAA"/>
      <rgbColor rgb="FF1F3864"/>
      <rgbColor rgb="FF339966"/>
      <rgbColor rgb="FF003300"/>
      <rgbColor rgb="FF1E4620"/>
      <rgbColor rgb="FF7D3C07"/>
      <rgbColor rgb="FF993366"/>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9"/>
  <sheetViews>
    <sheetView showGridLines="0" tabSelected="1" zoomScale="110" zoomScaleNormal="110" workbookViewId="0">
      <pane ySplit="7" topLeftCell="A22" activePane="bottomLeft" state="frozen"/>
      <selection pane="bottomLeft" activeCell="L12" sqref="L12"/>
    </sheetView>
  </sheetViews>
  <sheetFormatPr baseColWidth="10" defaultColWidth="8.6640625" defaultRowHeight="15" x14ac:dyDescent="0.2"/>
  <cols>
    <col min="1" max="1" width="32" customWidth="1"/>
    <col min="2" max="5" width="22" customWidth="1"/>
    <col min="6" max="6" width="17" customWidth="1"/>
    <col min="7" max="7" width="12" customWidth="1"/>
    <col min="8" max="8" width="30" customWidth="1"/>
  </cols>
  <sheetData>
    <row r="1" spans="1:8" ht="30" customHeight="1" x14ac:dyDescent="0.2">
      <c r="A1" s="14" t="s">
        <v>0</v>
      </c>
      <c r="B1" s="14"/>
      <c r="C1" s="14"/>
      <c r="D1" s="14"/>
      <c r="E1" s="14"/>
      <c r="F1" s="14"/>
      <c r="G1" s="14"/>
      <c r="H1" s="14"/>
    </row>
    <row r="2" spans="1:8" ht="19.5" customHeight="1" x14ac:dyDescent="0.2">
      <c r="A2" s="15" t="s">
        <v>1</v>
      </c>
      <c r="B2" s="57">
        <v>46236</v>
      </c>
      <c r="C2" s="15" t="s">
        <v>2</v>
      </c>
      <c r="D2" s="16" t="s">
        <v>3</v>
      </c>
      <c r="E2" s="15" t="s">
        <v>4</v>
      </c>
      <c r="F2" s="16">
        <v>2026</v>
      </c>
      <c r="G2" s="15"/>
      <c r="H2" s="16"/>
    </row>
    <row r="3" spans="1:8" ht="19.5" customHeight="1" x14ac:dyDescent="0.2">
      <c r="A3" s="15" t="s">
        <v>5</v>
      </c>
      <c r="B3" s="16" t="s">
        <v>6</v>
      </c>
      <c r="C3" s="15" t="s">
        <v>7</v>
      </c>
      <c r="D3" s="16" t="s">
        <v>8</v>
      </c>
      <c r="E3" s="15" t="s">
        <v>9</v>
      </c>
      <c r="F3" s="16" t="s">
        <v>10</v>
      </c>
      <c r="G3" s="15"/>
      <c r="H3" s="16"/>
    </row>
    <row r="4" spans="1:8" ht="19.5" customHeight="1" x14ac:dyDescent="0.2">
      <c r="A4" s="15" t="s">
        <v>11</v>
      </c>
      <c r="B4" s="16" t="s">
        <v>12</v>
      </c>
      <c r="C4" s="13"/>
      <c r="D4" s="13"/>
      <c r="E4" s="13"/>
      <c r="F4" s="13"/>
      <c r="G4" s="13"/>
      <c r="H4" s="13"/>
    </row>
    <row r="5" spans="1:8" ht="7.5" customHeight="1" x14ac:dyDescent="0.2"/>
    <row r="6" spans="1:8" ht="42" customHeight="1" x14ac:dyDescent="0.2">
      <c r="A6" s="17" t="s">
        <v>13</v>
      </c>
      <c r="B6" s="17" t="s">
        <v>14</v>
      </c>
      <c r="C6" s="17" t="s">
        <v>15</v>
      </c>
      <c r="D6" s="17" t="s">
        <v>16</v>
      </c>
      <c r="E6" s="17" t="s">
        <v>17</v>
      </c>
      <c r="F6" s="17" t="s">
        <v>18</v>
      </c>
      <c r="G6" s="17" t="s">
        <v>19</v>
      </c>
      <c r="H6" s="17" t="s">
        <v>20</v>
      </c>
    </row>
    <row r="7" spans="1:8" ht="42" customHeight="1" x14ac:dyDescent="0.2">
      <c r="A7" s="18"/>
      <c r="B7" s="18" t="s">
        <v>21</v>
      </c>
      <c r="C7" s="18" t="s">
        <v>22</v>
      </c>
      <c r="D7" s="18" t="s">
        <v>23</v>
      </c>
      <c r="E7" s="18" t="s">
        <v>24</v>
      </c>
      <c r="F7" s="18" t="s">
        <v>25</v>
      </c>
      <c r="G7" s="18" t="s">
        <v>26</v>
      </c>
      <c r="H7" s="18" t="s">
        <v>27</v>
      </c>
    </row>
    <row r="8" spans="1:8" ht="21.75" customHeight="1" x14ac:dyDescent="0.2">
      <c r="A8" s="12" t="s">
        <v>28</v>
      </c>
      <c r="B8" s="12"/>
      <c r="C8" s="12"/>
      <c r="D8" s="12"/>
      <c r="E8" s="12"/>
      <c r="F8" s="19">
        <v>30</v>
      </c>
      <c r="G8" s="20"/>
      <c r="H8" s="20"/>
    </row>
    <row r="9" spans="1:8" ht="79.5" customHeight="1" x14ac:dyDescent="0.2">
      <c r="A9" s="21" t="s">
        <v>29</v>
      </c>
      <c r="B9" s="22" t="s">
        <v>30</v>
      </c>
      <c r="C9" s="23" t="s">
        <v>31</v>
      </c>
      <c r="D9" s="24" t="s">
        <v>32</v>
      </c>
      <c r="E9" s="25" t="s">
        <v>33</v>
      </c>
      <c r="F9" s="26">
        <v>15</v>
      </c>
      <c r="G9" s="27"/>
      <c r="H9" s="28"/>
    </row>
    <row r="10" spans="1:8" ht="79.5" customHeight="1" x14ac:dyDescent="0.2">
      <c r="A10" s="21" t="s">
        <v>34</v>
      </c>
      <c r="B10" s="22" t="s">
        <v>35</v>
      </c>
      <c r="C10" s="23" t="s">
        <v>36</v>
      </c>
      <c r="D10" s="24" t="s">
        <v>37</v>
      </c>
      <c r="E10" s="25" t="s">
        <v>38</v>
      </c>
      <c r="F10" s="26">
        <v>15</v>
      </c>
      <c r="G10" s="27"/>
      <c r="H10" s="28"/>
    </row>
    <row r="11" spans="1:8" ht="21.75" customHeight="1" x14ac:dyDescent="0.2">
      <c r="A11" s="12" t="s">
        <v>39</v>
      </c>
      <c r="B11" s="12"/>
      <c r="C11" s="12"/>
      <c r="D11" s="12"/>
      <c r="E11" s="12"/>
      <c r="F11" s="19">
        <v>25</v>
      </c>
      <c r="G11" s="20"/>
      <c r="H11" s="20"/>
    </row>
    <row r="12" spans="1:8" ht="79.5" customHeight="1" x14ac:dyDescent="0.2">
      <c r="A12" s="21" t="s">
        <v>40</v>
      </c>
      <c r="B12" s="22" t="s">
        <v>41</v>
      </c>
      <c r="C12" s="23" t="s">
        <v>42</v>
      </c>
      <c r="D12" s="24" t="s">
        <v>43</v>
      </c>
      <c r="E12" s="25" t="s">
        <v>44</v>
      </c>
      <c r="F12" s="26">
        <v>8</v>
      </c>
      <c r="G12" s="27"/>
      <c r="H12" s="28"/>
    </row>
    <row r="13" spans="1:8" ht="79.5" customHeight="1" x14ac:dyDescent="0.2">
      <c r="A13" s="21" t="s">
        <v>45</v>
      </c>
      <c r="B13" s="22" t="s">
        <v>46</v>
      </c>
      <c r="C13" s="23" t="s">
        <v>47</v>
      </c>
      <c r="D13" s="24" t="s">
        <v>48</v>
      </c>
      <c r="E13" s="25" t="s">
        <v>49</v>
      </c>
      <c r="F13" s="26">
        <v>9</v>
      </c>
      <c r="G13" s="27"/>
      <c r="H13" s="28"/>
    </row>
    <row r="14" spans="1:8" ht="79.5" customHeight="1" x14ac:dyDescent="0.2">
      <c r="A14" s="21" t="s">
        <v>50</v>
      </c>
      <c r="B14" s="22" t="s">
        <v>51</v>
      </c>
      <c r="C14" s="23" t="s">
        <v>52</v>
      </c>
      <c r="D14" s="24" t="s">
        <v>53</v>
      </c>
      <c r="E14" s="25" t="s">
        <v>54</v>
      </c>
      <c r="F14" s="26">
        <v>8</v>
      </c>
      <c r="G14" s="27"/>
      <c r="H14" s="28"/>
    </row>
    <row r="15" spans="1:8" ht="21.75" customHeight="1" x14ac:dyDescent="0.2">
      <c r="A15" s="12" t="s">
        <v>55</v>
      </c>
      <c r="B15" s="12"/>
      <c r="C15" s="12"/>
      <c r="D15" s="12"/>
      <c r="E15" s="12"/>
      <c r="F15" s="19">
        <v>25</v>
      </c>
      <c r="G15" s="20"/>
      <c r="H15" s="20"/>
    </row>
    <row r="16" spans="1:8" ht="79.5" customHeight="1" x14ac:dyDescent="0.2">
      <c r="A16" s="21" t="s">
        <v>56</v>
      </c>
      <c r="B16" s="22" t="s">
        <v>57</v>
      </c>
      <c r="C16" s="23" t="s">
        <v>58</v>
      </c>
      <c r="D16" s="24" t="s">
        <v>59</v>
      </c>
      <c r="E16" s="25" t="s">
        <v>60</v>
      </c>
      <c r="F16" s="26">
        <v>8</v>
      </c>
      <c r="G16" s="27"/>
      <c r="H16" s="28"/>
    </row>
    <row r="17" spans="1:8" ht="79.5" customHeight="1" x14ac:dyDescent="0.2">
      <c r="A17" s="21" t="s">
        <v>61</v>
      </c>
      <c r="B17" s="22" t="s">
        <v>62</v>
      </c>
      <c r="C17" s="23" t="s">
        <v>63</v>
      </c>
      <c r="D17" s="24" t="s">
        <v>64</v>
      </c>
      <c r="E17" s="25" t="s">
        <v>65</v>
      </c>
      <c r="F17" s="26">
        <v>9</v>
      </c>
      <c r="G17" s="27"/>
      <c r="H17" s="28"/>
    </row>
    <row r="18" spans="1:8" ht="79.5" customHeight="1" x14ac:dyDescent="0.2">
      <c r="A18" s="21" t="s">
        <v>66</v>
      </c>
      <c r="B18" s="22" t="s">
        <v>67</v>
      </c>
      <c r="C18" s="23" t="s">
        <v>68</v>
      </c>
      <c r="D18" s="24" t="s">
        <v>69</v>
      </c>
      <c r="E18" s="25" t="s">
        <v>70</v>
      </c>
      <c r="F18" s="26">
        <v>8</v>
      </c>
      <c r="G18" s="27"/>
      <c r="H18" s="28"/>
    </row>
    <row r="19" spans="1:8" ht="21.75" customHeight="1" x14ac:dyDescent="0.2">
      <c r="A19" s="12" t="s">
        <v>71</v>
      </c>
      <c r="B19" s="12"/>
      <c r="C19" s="12"/>
      <c r="D19" s="12"/>
      <c r="E19" s="12"/>
      <c r="F19" s="19">
        <v>20</v>
      </c>
      <c r="G19" s="20"/>
      <c r="H19" s="20"/>
    </row>
    <row r="20" spans="1:8" ht="79.5" customHeight="1" x14ac:dyDescent="0.2">
      <c r="A20" s="21" t="s">
        <v>72</v>
      </c>
      <c r="B20" s="22" t="s">
        <v>73</v>
      </c>
      <c r="C20" s="23" t="s">
        <v>74</v>
      </c>
      <c r="D20" s="24" t="s">
        <v>75</v>
      </c>
      <c r="E20" s="25" t="s">
        <v>76</v>
      </c>
      <c r="F20" s="26">
        <v>10</v>
      </c>
      <c r="G20" s="27"/>
      <c r="H20" s="28"/>
    </row>
    <row r="21" spans="1:8" ht="79.5" customHeight="1" x14ac:dyDescent="0.2">
      <c r="A21" s="21" t="s">
        <v>77</v>
      </c>
      <c r="B21" s="22" t="s">
        <v>78</v>
      </c>
      <c r="C21" s="23" t="s">
        <v>79</v>
      </c>
      <c r="D21" s="24" t="s">
        <v>80</v>
      </c>
      <c r="E21" s="25" t="s">
        <v>81</v>
      </c>
      <c r="F21" s="26">
        <v>10</v>
      </c>
      <c r="G21" s="27"/>
      <c r="H21" s="28"/>
    </row>
    <row r="22" spans="1:8" ht="21.75" customHeight="1" x14ac:dyDescent="0.2">
      <c r="A22" s="12" t="s">
        <v>82</v>
      </c>
      <c r="B22" s="12"/>
      <c r="C22" s="12"/>
      <c r="D22" s="12"/>
      <c r="E22" s="12"/>
      <c r="F22" s="19" t="s">
        <v>83</v>
      </c>
      <c r="G22" s="20"/>
      <c r="H22" s="20"/>
    </row>
    <row r="23" spans="1:8" ht="79.5" customHeight="1" x14ac:dyDescent="0.2">
      <c r="A23" s="21" t="s">
        <v>84</v>
      </c>
      <c r="B23" s="22" t="s">
        <v>85</v>
      </c>
      <c r="C23" s="23" t="s">
        <v>86</v>
      </c>
      <c r="D23" s="24" t="s">
        <v>87</v>
      </c>
      <c r="E23" s="25" t="s">
        <v>88</v>
      </c>
      <c r="F23" s="26" t="s">
        <v>83</v>
      </c>
      <c r="G23" s="27" t="s">
        <v>83</v>
      </c>
      <c r="H23" s="28" t="s">
        <v>89</v>
      </c>
    </row>
    <row r="24" spans="1:8" ht="79.5" customHeight="1" x14ac:dyDescent="0.2">
      <c r="A24" s="21" t="s">
        <v>90</v>
      </c>
      <c r="B24" s="22" t="s">
        <v>91</v>
      </c>
      <c r="C24" s="23" t="s">
        <v>92</v>
      </c>
      <c r="D24" s="24" t="s">
        <v>93</v>
      </c>
      <c r="E24" s="25" t="s">
        <v>94</v>
      </c>
      <c r="F24" s="26" t="s">
        <v>83</v>
      </c>
      <c r="G24" s="27" t="s">
        <v>83</v>
      </c>
      <c r="H24" s="28" t="s">
        <v>89</v>
      </c>
    </row>
    <row r="25" spans="1:8" ht="18" customHeight="1" x14ac:dyDescent="0.2"/>
    <row r="26" spans="1:8" ht="27.75" customHeight="1" x14ac:dyDescent="0.2">
      <c r="A26" s="11" t="s">
        <v>95</v>
      </c>
      <c r="B26" s="11"/>
      <c r="C26" s="11"/>
      <c r="D26" s="11"/>
      <c r="E26" s="11"/>
      <c r="F26" s="29">
        <v>100</v>
      </c>
      <c r="G26" s="29">
        <f>SUM(G9,G10,G12,G13,G14,G16,G17,G18,G20,G21)</f>
        <v>0</v>
      </c>
      <c r="H26" s="30"/>
    </row>
    <row r="27" spans="1:8" ht="19.5" customHeight="1" x14ac:dyDescent="0.2">
      <c r="A27" s="10" t="s">
        <v>96</v>
      </c>
      <c r="B27" s="10"/>
      <c r="C27" s="10"/>
      <c r="D27" s="10"/>
      <c r="E27" s="10"/>
      <c r="F27" s="31"/>
      <c r="G27" s="32" t="str">
        <f>IF(G26&gt;=90,"Distinction",IF(G26&gt;=75,"Merit",IF(G26&gt;=50,"Pass",IF(G26&gt;=0,"Not Yet Competent",""))))</f>
        <v>Not Yet Competent</v>
      </c>
      <c r="H27" s="31"/>
    </row>
    <row r="28" spans="1:8" ht="18" customHeight="1" x14ac:dyDescent="0.2"/>
    <row r="29" spans="1:8" ht="18" customHeight="1" x14ac:dyDescent="0.2">
      <c r="A29" s="9" t="s">
        <v>97</v>
      </c>
      <c r="B29" s="9"/>
      <c r="C29" s="9"/>
      <c r="D29" s="9"/>
      <c r="E29" s="9"/>
      <c r="F29" s="9"/>
      <c r="G29" s="9"/>
      <c r="H29" s="9"/>
    </row>
    <row r="30" spans="1:8" ht="18" customHeight="1" x14ac:dyDescent="0.2"/>
    <row r="31" spans="1:8" ht="18" customHeight="1" x14ac:dyDescent="0.2"/>
    <row r="32" spans="1:8" ht="18" customHeight="1" x14ac:dyDescent="0.2"/>
    <row r="33" ht="18" customHeight="1" x14ac:dyDescent="0.2"/>
    <row r="34" ht="18" customHeight="1" x14ac:dyDescent="0.2"/>
    <row r="35" ht="18" customHeight="1" x14ac:dyDescent="0.2"/>
    <row r="36" ht="18" customHeight="1" x14ac:dyDescent="0.2"/>
    <row r="37" ht="18" customHeight="1" x14ac:dyDescent="0.2"/>
    <row r="38" ht="18" customHeight="1" x14ac:dyDescent="0.2"/>
    <row r="39" ht="18" customHeight="1" x14ac:dyDescent="0.2"/>
    <row r="40" ht="18" customHeight="1" x14ac:dyDescent="0.2"/>
    <row r="41" ht="18" customHeight="1" x14ac:dyDescent="0.2"/>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row r="69" ht="18" customHeight="1" x14ac:dyDescent="0.2"/>
    <row r="70" ht="18" customHeight="1" x14ac:dyDescent="0.2"/>
    <row r="71" ht="18" customHeight="1" x14ac:dyDescent="0.2"/>
    <row r="72" ht="18" customHeight="1" x14ac:dyDescent="0.2"/>
    <row r="73" ht="18" customHeight="1" x14ac:dyDescent="0.2"/>
    <row r="74" ht="18" customHeight="1" x14ac:dyDescent="0.2"/>
    <row r="75" ht="18" customHeight="1" x14ac:dyDescent="0.2"/>
    <row r="76" ht="18" customHeight="1" x14ac:dyDescent="0.2"/>
    <row r="77" ht="18" customHeight="1" x14ac:dyDescent="0.2"/>
    <row r="78" ht="18" customHeight="1" x14ac:dyDescent="0.2"/>
    <row r="79" ht="18" customHeight="1" x14ac:dyDescent="0.2"/>
    <row r="80" ht="18" customHeight="1" x14ac:dyDescent="0.2"/>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row r="145" ht="18" customHeight="1" x14ac:dyDescent="0.2"/>
    <row r="146" ht="18" customHeight="1" x14ac:dyDescent="0.2"/>
    <row r="147" ht="18" customHeight="1" x14ac:dyDescent="0.2"/>
    <row r="148" ht="18" customHeight="1" x14ac:dyDescent="0.2"/>
    <row r="149" ht="18" customHeight="1" x14ac:dyDescent="0.2"/>
    <row r="150" ht="18" customHeight="1" x14ac:dyDescent="0.2"/>
    <row r="151" ht="18" customHeight="1" x14ac:dyDescent="0.2"/>
    <row r="152" ht="18" customHeight="1" x14ac:dyDescent="0.2"/>
    <row r="153" ht="18" customHeight="1" x14ac:dyDescent="0.2"/>
    <row r="154" ht="18" customHeight="1" x14ac:dyDescent="0.2"/>
    <row r="155" ht="18" customHeight="1" x14ac:dyDescent="0.2"/>
    <row r="156" ht="18" customHeight="1" x14ac:dyDescent="0.2"/>
    <row r="157" ht="18" customHeight="1" x14ac:dyDescent="0.2"/>
    <row r="158" ht="18" customHeight="1" x14ac:dyDescent="0.2"/>
    <row r="159" ht="18" customHeight="1" x14ac:dyDescent="0.2"/>
    <row r="160" ht="18" customHeight="1" x14ac:dyDescent="0.2"/>
    <row r="161" ht="18" customHeight="1" x14ac:dyDescent="0.2"/>
    <row r="162" ht="18" customHeight="1" x14ac:dyDescent="0.2"/>
    <row r="163" ht="18" customHeight="1" x14ac:dyDescent="0.2"/>
    <row r="164" ht="18" customHeight="1" x14ac:dyDescent="0.2"/>
    <row r="165" ht="18" customHeight="1" x14ac:dyDescent="0.2"/>
    <row r="166" ht="18" customHeight="1" x14ac:dyDescent="0.2"/>
    <row r="167" ht="18" customHeight="1" x14ac:dyDescent="0.2"/>
    <row r="168" ht="18" customHeight="1" x14ac:dyDescent="0.2"/>
    <row r="169" ht="18" customHeight="1" x14ac:dyDescent="0.2"/>
    <row r="170" ht="18" customHeight="1" x14ac:dyDescent="0.2"/>
    <row r="171" ht="18" customHeight="1" x14ac:dyDescent="0.2"/>
    <row r="172" ht="18" customHeight="1" x14ac:dyDescent="0.2"/>
    <row r="173" ht="18" customHeight="1" x14ac:dyDescent="0.2"/>
    <row r="174" ht="18" customHeight="1" x14ac:dyDescent="0.2"/>
    <row r="175" ht="18" customHeight="1" x14ac:dyDescent="0.2"/>
    <row r="176" ht="18" customHeight="1" x14ac:dyDescent="0.2"/>
    <row r="177" ht="18" customHeight="1" x14ac:dyDescent="0.2"/>
    <row r="178" ht="18" customHeight="1" x14ac:dyDescent="0.2"/>
    <row r="179" ht="18" customHeight="1" x14ac:dyDescent="0.2"/>
    <row r="180" ht="18" customHeight="1" x14ac:dyDescent="0.2"/>
    <row r="181" ht="18" customHeight="1" x14ac:dyDescent="0.2"/>
    <row r="182" ht="18" customHeight="1" x14ac:dyDescent="0.2"/>
    <row r="183" ht="18" customHeight="1" x14ac:dyDescent="0.2"/>
    <row r="184" ht="18" customHeight="1" x14ac:dyDescent="0.2"/>
    <row r="185" ht="18" customHeight="1" x14ac:dyDescent="0.2"/>
    <row r="186" ht="18" customHeight="1" x14ac:dyDescent="0.2"/>
    <row r="187" ht="18" customHeight="1" x14ac:dyDescent="0.2"/>
    <row r="188" ht="18" customHeight="1" x14ac:dyDescent="0.2"/>
    <row r="189" ht="18" customHeight="1" x14ac:dyDescent="0.2"/>
    <row r="190" ht="18" customHeight="1" x14ac:dyDescent="0.2"/>
    <row r="191" ht="18" customHeight="1" x14ac:dyDescent="0.2"/>
    <row r="192" ht="18" customHeight="1" x14ac:dyDescent="0.2"/>
    <row r="193" ht="18" customHeight="1" x14ac:dyDescent="0.2"/>
    <row r="194" ht="18" customHeight="1" x14ac:dyDescent="0.2"/>
    <row r="195" ht="18" customHeight="1" x14ac:dyDescent="0.2"/>
    <row r="196" ht="18" customHeight="1" x14ac:dyDescent="0.2"/>
    <row r="197" ht="18" customHeight="1" x14ac:dyDescent="0.2"/>
    <row r="198" ht="18" customHeight="1" x14ac:dyDescent="0.2"/>
    <row r="199" ht="18" customHeight="1" x14ac:dyDescent="0.2"/>
  </sheetData>
  <mergeCells count="10">
    <mergeCell ref="A19:E19"/>
    <mergeCell ref="A22:E22"/>
    <mergeCell ref="A26:E26"/>
    <mergeCell ref="A27:E27"/>
    <mergeCell ref="A29:H29"/>
    <mergeCell ref="A1:H1"/>
    <mergeCell ref="C4:H4"/>
    <mergeCell ref="A8:E8"/>
    <mergeCell ref="A11:E11"/>
    <mergeCell ref="A15:E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showGridLines="0" topLeftCell="A14" zoomScale="120" zoomScaleNormal="120" workbookViewId="0">
      <selection activeCell="G12" sqref="G12"/>
    </sheetView>
  </sheetViews>
  <sheetFormatPr baseColWidth="10" defaultColWidth="8.6640625" defaultRowHeight="15" x14ac:dyDescent="0.2"/>
  <cols>
    <col min="1" max="1" width="28" customWidth="1"/>
    <col min="2" max="2" width="10" customWidth="1"/>
    <col min="3" max="3" width="14" customWidth="1"/>
    <col min="4" max="4" width="30" customWidth="1"/>
  </cols>
  <sheetData>
    <row r="1" spans="1:4" ht="30" customHeight="1" x14ac:dyDescent="0.2">
      <c r="A1" s="8" t="s">
        <v>98</v>
      </c>
      <c r="B1" s="8"/>
      <c r="C1" s="8"/>
      <c r="D1" s="8"/>
    </row>
    <row r="2" spans="1:4" ht="18" customHeight="1" x14ac:dyDescent="0.2">
      <c r="A2" s="33" t="s">
        <v>99</v>
      </c>
      <c r="B2" s="7"/>
      <c r="C2" s="7"/>
      <c r="D2" s="7"/>
    </row>
    <row r="3" spans="1:4" ht="18" customHeight="1" x14ac:dyDescent="0.2">
      <c r="A3" s="33" t="s">
        <v>100</v>
      </c>
      <c r="B3" s="7"/>
      <c r="C3" s="7"/>
      <c r="D3" s="7"/>
    </row>
    <row r="4" spans="1:4" ht="18" customHeight="1" x14ac:dyDescent="0.2">
      <c r="A4" s="33" t="s">
        <v>101</v>
      </c>
      <c r="B4" s="7"/>
      <c r="C4" s="7"/>
      <c r="D4" s="7"/>
    </row>
    <row r="5" spans="1:4" ht="18" customHeight="1" x14ac:dyDescent="0.2">
      <c r="A5" s="33" t="s">
        <v>102</v>
      </c>
      <c r="B5" s="7"/>
      <c r="C5" s="7"/>
      <c r="D5" s="7"/>
    </row>
    <row r="6" spans="1:4" ht="18" customHeight="1" x14ac:dyDescent="0.2">
      <c r="A6" s="33" t="s">
        <v>103</v>
      </c>
      <c r="B6" s="56">
        <v>46236</v>
      </c>
      <c r="C6" s="6"/>
      <c r="D6" s="6"/>
    </row>
    <row r="7" spans="1:4" ht="18" customHeight="1" x14ac:dyDescent="0.2">
      <c r="A7" s="33" t="s">
        <v>104</v>
      </c>
      <c r="B7" s="7"/>
      <c r="C7" s="7"/>
      <c r="D7" s="7"/>
    </row>
    <row r="9" spans="1:4" ht="19.5" customHeight="1" x14ac:dyDescent="0.2">
      <c r="A9" s="5" t="s">
        <v>105</v>
      </c>
      <c r="B9" s="5"/>
      <c r="C9" s="19">
        <v>30</v>
      </c>
      <c r="D9" s="34" t="s">
        <v>106</v>
      </c>
    </row>
    <row r="10" spans="1:4" ht="18" customHeight="1" x14ac:dyDescent="0.2">
      <c r="A10" s="35" t="s">
        <v>107</v>
      </c>
      <c r="B10" s="26">
        <v>15</v>
      </c>
      <c r="C10" s="36"/>
      <c r="D10" s="37"/>
    </row>
    <row r="11" spans="1:4" ht="18" customHeight="1" x14ac:dyDescent="0.2">
      <c r="A11" s="35" t="s">
        <v>108</v>
      </c>
      <c r="B11" s="26">
        <v>15</v>
      </c>
      <c r="C11" s="36"/>
      <c r="D11" s="37"/>
    </row>
    <row r="12" spans="1:4" ht="18" customHeight="1" x14ac:dyDescent="0.2">
      <c r="A12" s="4" t="s">
        <v>109</v>
      </c>
      <c r="B12" s="4"/>
      <c r="C12" s="32">
        <f>SUM(C10,C11)</f>
        <v>0</v>
      </c>
      <c r="D12" s="38" t="s">
        <v>110</v>
      </c>
    </row>
    <row r="13" spans="1:4" ht="19.5" customHeight="1" x14ac:dyDescent="0.2">
      <c r="A13" s="5" t="s">
        <v>111</v>
      </c>
      <c r="B13" s="5"/>
      <c r="C13" s="19">
        <v>25</v>
      </c>
      <c r="D13" s="34" t="s">
        <v>106</v>
      </c>
    </row>
    <row r="14" spans="1:4" ht="32" customHeight="1" x14ac:dyDescent="0.2">
      <c r="A14" s="35" t="s">
        <v>112</v>
      </c>
      <c r="B14" s="26">
        <v>8</v>
      </c>
      <c r="C14" s="36"/>
      <c r="D14" s="37"/>
    </row>
    <row r="15" spans="1:4" ht="29" customHeight="1" x14ac:dyDescent="0.2">
      <c r="A15" s="35" t="s">
        <v>113</v>
      </c>
      <c r="B15" s="26">
        <v>9</v>
      </c>
      <c r="C15" s="36"/>
      <c r="D15" s="37"/>
    </row>
    <row r="16" spans="1:4" ht="29" customHeight="1" x14ac:dyDescent="0.2">
      <c r="A16" s="35" t="s">
        <v>114</v>
      </c>
      <c r="B16" s="26">
        <v>8</v>
      </c>
      <c r="C16" s="36"/>
      <c r="D16" s="37"/>
    </row>
    <row r="17" spans="1:4" ht="18" customHeight="1" x14ac:dyDescent="0.2">
      <c r="A17" s="4" t="s">
        <v>115</v>
      </c>
      <c r="B17" s="4"/>
      <c r="C17" s="32">
        <f>SUM(C14,C15,C16)</f>
        <v>0</v>
      </c>
      <c r="D17" s="38" t="s">
        <v>116</v>
      </c>
    </row>
    <row r="18" spans="1:4" ht="19.5" customHeight="1" x14ac:dyDescent="0.2">
      <c r="A18" s="5" t="s">
        <v>117</v>
      </c>
      <c r="B18" s="5"/>
      <c r="C18" s="19">
        <v>25</v>
      </c>
      <c r="D18" s="34" t="s">
        <v>106</v>
      </c>
    </row>
    <row r="19" spans="1:4" ht="34" customHeight="1" x14ac:dyDescent="0.2">
      <c r="A19" s="35" t="s">
        <v>118</v>
      </c>
      <c r="B19" s="26">
        <v>8</v>
      </c>
      <c r="C19" s="36"/>
      <c r="D19" s="37"/>
    </row>
    <row r="20" spans="1:4" ht="34" customHeight="1" x14ac:dyDescent="0.2">
      <c r="A20" s="35" t="s">
        <v>119</v>
      </c>
      <c r="B20" s="26">
        <v>9</v>
      </c>
      <c r="C20" s="36"/>
      <c r="D20" s="37"/>
    </row>
    <row r="21" spans="1:4" ht="25" customHeight="1" x14ac:dyDescent="0.2">
      <c r="A21" s="35" t="s">
        <v>120</v>
      </c>
      <c r="B21" s="26">
        <v>8</v>
      </c>
      <c r="C21" s="36"/>
      <c r="D21" s="37"/>
    </row>
    <row r="22" spans="1:4" ht="18" customHeight="1" x14ac:dyDescent="0.2">
      <c r="A22" s="4" t="s">
        <v>121</v>
      </c>
      <c r="B22" s="4"/>
      <c r="C22" s="32">
        <f>SUM(C19,C20,C21)</f>
        <v>0</v>
      </c>
      <c r="D22" s="38" t="s">
        <v>116</v>
      </c>
    </row>
    <row r="23" spans="1:4" ht="19.5" customHeight="1" x14ac:dyDescent="0.2">
      <c r="A23" s="5" t="s">
        <v>122</v>
      </c>
      <c r="B23" s="5"/>
      <c r="C23" s="19">
        <v>20</v>
      </c>
      <c r="D23" s="34" t="s">
        <v>106</v>
      </c>
    </row>
    <row r="24" spans="1:4" ht="29" customHeight="1" x14ac:dyDescent="0.2">
      <c r="A24" s="35" t="s">
        <v>123</v>
      </c>
      <c r="B24" s="26">
        <v>10</v>
      </c>
      <c r="C24" s="36"/>
      <c r="D24" s="37"/>
    </row>
    <row r="25" spans="1:4" ht="26" customHeight="1" x14ac:dyDescent="0.2">
      <c r="A25" s="35" t="s">
        <v>124</v>
      </c>
      <c r="B25" s="26">
        <v>10</v>
      </c>
      <c r="C25" s="36"/>
      <c r="D25" s="37"/>
    </row>
    <row r="26" spans="1:4" ht="18" customHeight="1" x14ac:dyDescent="0.2">
      <c r="A26" s="4" t="s">
        <v>125</v>
      </c>
      <c r="B26" s="4"/>
      <c r="C26" s="32">
        <f>SUM(C24,C25)</f>
        <v>0</v>
      </c>
      <c r="D26" s="38" t="s">
        <v>126</v>
      </c>
    </row>
    <row r="27" spans="1:4" ht="24" customHeight="1" x14ac:dyDescent="0.2">
      <c r="A27" s="11" t="s">
        <v>127</v>
      </c>
      <c r="B27" s="11"/>
      <c r="C27" s="39">
        <f>SUM(C10,C11,C14,C15,C16,C19,C20,C21,C24,C25)</f>
        <v>0</v>
      </c>
      <c r="D27" s="33" t="s">
        <v>128</v>
      </c>
    </row>
    <row r="28" spans="1:4" ht="29" customHeight="1" x14ac:dyDescent="0.2">
      <c r="A28" s="10" t="s">
        <v>129</v>
      </c>
      <c r="B28" s="10"/>
      <c r="C28" s="32" t="str">
        <f>IF(C27&gt;=90,"Distinction",IF(C27&gt;=75,"Merit",IF(C27&gt;=50,"Pass","Not Yet Competent")))</f>
        <v>Not Yet Competent</v>
      </c>
      <c r="D28" s="40"/>
    </row>
    <row r="30" spans="1:4" ht="19.5" customHeight="1" x14ac:dyDescent="0.2">
      <c r="A30" s="3" t="s">
        <v>130</v>
      </c>
      <c r="B30" s="3"/>
      <c r="C30" s="2"/>
      <c r="D30" s="2"/>
    </row>
    <row r="31" spans="1:4" ht="19.5" customHeight="1" x14ac:dyDescent="0.2">
      <c r="A31" s="3" t="s">
        <v>131</v>
      </c>
      <c r="B31" s="3"/>
      <c r="C31" s="2"/>
      <c r="D31" s="2"/>
    </row>
    <row r="32" spans="1:4" ht="19.5" customHeight="1" x14ac:dyDescent="0.2">
      <c r="A32" s="3" t="s">
        <v>132</v>
      </c>
      <c r="B32" s="3"/>
      <c r="C32" s="2"/>
      <c r="D32" s="2"/>
    </row>
  </sheetData>
  <mergeCells count="23">
    <mergeCell ref="A32:B32"/>
    <mergeCell ref="C32:D32"/>
    <mergeCell ref="A27:B27"/>
    <mergeCell ref="A28:B28"/>
    <mergeCell ref="A30:B30"/>
    <mergeCell ref="C30:D30"/>
    <mergeCell ref="A31:B31"/>
    <mergeCell ref="C31:D31"/>
    <mergeCell ref="A17:B17"/>
    <mergeCell ref="A18:B18"/>
    <mergeCell ref="A22:B22"/>
    <mergeCell ref="A23:B23"/>
    <mergeCell ref="A26:B26"/>
    <mergeCell ref="B6:D6"/>
    <mergeCell ref="B7:D7"/>
    <mergeCell ref="A9:B9"/>
    <mergeCell ref="A12:B12"/>
    <mergeCell ref="A13:B13"/>
    <mergeCell ref="A1:D1"/>
    <mergeCell ref="B2:D2"/>
    <mergeCell ref="B3:D3"/>
    <mergeCell ref="B4:D4"/>
    <mergeCell ref="B5:D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
  <sheetViews>
    <sheetView showGridLines="0" zoomScale="160" zoomScaleNormal="160" workbookViewId="0">
      <selection sqref="A1:C1"/>
    </sheetView>
  </sheetViews>
  <sheetFormatPr baseColWidth="10" defaultColWidth="8.6640625" defaultRowHeight="15" x14ac:dyDescent="0.2"/>
  <cols>
    <col min="1" max="1" width="22" customWidth="1"/>
    <col min="2" max="2" width="18" customWidth="1"/>
    <col min="3" max="3" width="55" customWidth="1"/>
  </cols>
  <sheetData>
    <row r="1" spans="1:3" ht="27.75" customHeight="1" x14ac:dyDescent="0.2">
      <c r="A1" s="1" t="s">
        <v>133</v>
      </c>
      <c r="B1" s="1"/>
      <c r="C1" s="1"/>
    </row>
    <row r="2" spans="1:3" ht="75" customHeight="1" x14ac:dyDescent="0.2">
      <c r="A2" s="41" t="s">
        <v>134</v>
      </c>
      <c r="B2" s="42" t="s">
        <v>135</v>
      </c>
      <c r="C2" s="43" t="s">
        <v>136</v>
      </c>
    </row>
    <row r="3" spans="1:3" ht="75" customHeight="1" x14ac:dyDescent="0.2">
      <c r="A3" s="44" t="s">
        <v>137</v>
      </c>
      <c r="B3" s="45" t="s">
        <v>138</v>
      </c>
      <c r="C3" s="43" t="s">
        <v>139</v>
      </c>
    </row>
    <row r="4" spans="1:3" ht="75" customHeight="1" x14ac:dyDescent="0.2">
      <c r="A4" s="46" t="s">
        <v>140</v>
      </c>
      <c r="B4" s="47" t="s">
        <v>141</v>
      </c>
      <c r="C4" s="43" t="s">
        <v>142</v>
      </c>
    </row>
    <row r="5" spans="1:3" ht="75" customHeight="1" x14ac:dyDescent="0.2">
      <c r="A5" s="48" t="s">
        <v>143</v>
      </c>
      <c r="B5" s="49" t="s">
        <v>144</v>
      </c>
      <c r="C5" s="43" t="s">
        <v>145</v>
      </c>
    </row>
  </sheetData>
  <mergeCells count="1">
    <mergeCell ref="A1:C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showGridLines="0" zoomScale="130" zoomScaleNormal="130" workbookViewId="0">
      <selection activeCell="E6" sqref="E6"/>
    </sheetView>
  </sheetViews>
  <sheetFormatPr baseColWidth="10" defaultColWidth="8.6640625" defaultRowHeight="15" x14ac:dyDescent="0.2"/>
  <cols>
    <col min="1" max="1" width="8" customWidth="1"/>
    <col min="2" max="2" width="30" customWidth="1"/>
    <col min="3" max="3" width="55" customWidth="1"/>
  </cols>
  <sheetData>
    <row r="1" spans="1:3" ht="27.75" customHeight="1" x14ac:dyDescent="0.2">
      <c r="A1" s="1" t="s">
        <v>146</v>
      </c>
      <c r="B1" s="1"/>
      <c r="C1" s="1"/>
    </row>
    <row r="2" spans="1:3" x14ac:dyDescent="0.2">
      <c r="A2" s="17" t="s">
        <v>147</v>
      </c>
      <c r="B2" s="17" t="s">
        <v>148</v>
      </c>
      <c r="C2" s="17" t="s">
        <v>149</v>
      </c>
    </row>
    <row r="3" spans="1:3" ht="39.75" customHeight="1" x14ac:dyDescent="0.2">
      <c r="A3" s="50" t="s">
        <v>150</v>
      </c>
      <c r="B3" s="51" t="s">
        <v>151</v>
      </c>
      <c r="C3" s="52" t="s">
        <v>152</v>
      </c>
    </row>
    <row r="4" spans="1:3" ht="39.75" customHeight="1" x14ac:dyDescent="0.2">
      <c r="A4" s="53" t="s">
        <v>153</v>
      </c>
      <c r="B4" s="54" t="s">
        <v>154</v>
      </c>
      <c r="C4" s="55" t="s">
        <v>155</v>
      </c>
    </row>
    <row r="5" spans="1:3" ht="39.75" customHeight="1" x14ac:dyDescent="0.2">
      <c r="A5" s="50" t="s">
        <v>156</v>
      </c>
      <c r="B5" s="51" t="s">
        <v>157</v>
      </c>
      <c r="C5" s="52" t="s">
        <v>158</v>
      </c>
    </row>
    <row r="6" spans="1:3" ht="39.75" customHeight="1" x14ac:dyDescent="0.2">
      <c r="A6" s="53" t="s">
        <v>159</v>
      </c>
      <c r="B6" s="54" t="s">
        <v>160</v>
      </c>
      <c r="C6" s="55" t="s">
        <v>184</v>
      </c>
    </row>
    <row r="7" spans="1:3" ht="39.75" customHeight="1" x14ac:dyDescent="0.2">
      <c r="A7" s="50" t="s">
        <v>161</v>
      </c>
      <c r="B7" s="51" t="s">
        <v>162</v>
      </c>
      <c r="C7" s="52" t="s">
        <v>163</v>
      </c>
    </row>
    <row r="8" spans="1:3" ht="39.75" customHeight="1" x14ac:dyDescent="0.2">
      <c r="A8" s="53" t="s">
        <v>164</v>
      </c>
      <c r="B8" s="54" t="s">
        <v>165</v>
      </c>
      <c r="C8" s="55" t="s">
        <v>166</v>
      </c>
    </row>
    <row r="9" spans="1:3" ht="39.75" customHeight="1" x14ac:dyDescent="0.2">
      <c r="A9" s="50" t="s">
        <v>167</v>
      </c>
      <c r="B9" s="51" t="s">
        <v>168</v>
      </c>
      <c r="C9" s="52" t="s">
        <v>169</v>
      </c>
    </row>
    <row r="10" spans="1:3" ht="39.75" customHeight="1" x14ac:dyDescent="0.2">
      <c r="A10" s="53" t="s">
        <v>170</v>
      </c>
      <c r="B10" s="54" t="s">
        <v>171</v>
      </c>
      <c r="C10" s="55" t="s">
        <v>172</v>
      </c>
    </row>
    <row r="11" spans="1:3" ht="39.75" customHeight="1" x14ac:dyDescent="0.2">
      <c r="A11" s="50" t="s">
        <v>173</v>
      </c>
      <c r="B11" s="51" t="s">
        <v>103</v>
      </c>
      <c r="C11" s="52" t="s">
        <v>183</v>
      </c>
    </row>
    <row r="12" spans="1:3" ht="39.75" customHeight="1" x14ac:dyDescent="0.2">
      <c r="A12" s="53" t="s">
        <v>174</v>
      </c>
      <c r="B12" s="54" t="s">
        <v>175</v>
      </c>
      <c r="C12" s="55" t="s">
        <v>176</v>
      </c>
    </row>
    <row r="13" spans="1:3" ht="39.75" customHeight="1" x14ac:dyDescent="0.2">
      <c r="A13" s="50" t="s">
        <v>177</v>
      </c>
      <c r="B13" s="51" t="s">
        <v>178</v>
      </c>
      <c r="C13" s="52" t="s">
        <v>179</v>
      </c>
    </row>
    <row r="14" spans="1:3" ht="39.75" customHeight="1" x14ac:dyDescent="0.2">
      <c r="A14" s="53" t="s">
        <v>180</v>
      </c>
      <c r="B14" s="54" t="s">
        <v>181</v>
      </c>
      <c r="C14" s="55" t="s">
        <v>182</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BB Rubric – Design Phase</vt:lpstr>
      <vt:lpstr>Mark Sheet</vt:lpstr>
      <vt:lpstr>Grade Band Guide</vt:lpstr>
      <vt:lpstr>BB Upload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Waldon Hendricks</cp:lastModifiedBy>
  <cp:revision>0</cp:revision>
  <dcterms:created xsi:type="dcterms:W3CDTF">2026-05-10T07:36:40Z</dcterms:created>
  <dcterms:modified xsi:type="dcterms:W3CDTF">2026-07-27T16:47:45Z</dcterms:modified>
  <dc:language>en-US</dc:language>
</cp:coreProperties>
</file>